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10" yWindow="-110" windowWidth="19420" windowHeight="11500" activeTab="3"/>
  </bookViews>
  <sheets>
    <sheet name="Statement" sheetId="1" r:id="rId1"/>
    <sheet name="F02.CFG-Paths" sheetId="10" r:id="rId2"/>
    <sheet name="F02.TCs" sheetId="11" r:id="rId3"/>
    <sheet name="WBT-TCs" sheetId="4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B16" i="4"/>
</calcChain>
</file>

<file path=xl/sharedStrings.xml><?xml version="1.0" encoding="utf-8"?>
<sst xmlns="http://schemas.openxmlformats.org/spreadsheetml/2006/main" count="168" uniqueCount="114">
  <si>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</si>
  <si>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</si>
  <si>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</si>
  <si>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</si>
  <si>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</si>
  <si>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</si>
  <si>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</si>
  <si>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</si>
  <si>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</si>
  <si>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</si>
  <si>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</si>
  <si>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</si>
  <si>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</si>
  <si>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</si>
  <si>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</si>
  <si>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</si>
  <si>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</si>
  <si>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</si>
  <si>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</si>
  <si>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</si>
  <si>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</si>
  <si>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</si>
  <si>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</si>
  <si>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</si>
  <si>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</si>
  <si>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</si>
  <si>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</si>
  <si>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</si>
  <si>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</si>
  <si>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</si>
  <si>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</si>
  <si>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</si>
  <si>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</si>
  <si>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</si>
  <si>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</si>
  <si>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</si>
  <si>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</si>
  <si>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</si>
  <si>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</si>
  <si>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</si>
  <si>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</si>
  <si>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</si>
  <si>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</si>
  <si>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</si>
  <si>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</si>
  <si>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</si>
  <si>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</si>
  <si>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</si>
  <si>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</si>
  <si>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</si>
  <si>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</si>
  <si>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</si>
  <si>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</si>
  <si>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</si>
  <si>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</si>
  <si>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</si>
  <si>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</si>
  <si>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</si>
  <si>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</si>
  <si>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</si>
  <si>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</si>
  <si>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</si>
  <si>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</si>
  <si>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</si>
  <si>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</si>
  <si>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</si>
  <si>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</si>
  <si>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</si>
  <si>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</si>
  <si>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Racoviță Răzvan-Ionuț</t>
  </si>
  <si>
    <t>Radu Ștefan Daniel</t>
  </si>
  <si>
    <t>Rednic Luca</t>
  </si>
  <si>
    <t>Un angajat doreşte să îşi dezvolte un program pentru gestionarea bauturilor din stoc disponibile. Programul va permite următoarele operaţii:</t>
  </si>
  <si>
    <t>1. Evidenţa produselor din stoc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</si>
  <si>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gestiunea stocului de ingrediente pentru retete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</si>
  <si>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gestionarea stocului de ingrediente pentru retete</t>
    </r>
  </si>
  <si>
    <t>comanda se finalizeaza</t>
  </si>
  <si>
    <t>se arunca exceptie</t>
  </si>
  <si>
    <t>X</t>
  </si>
  <si>
    <t>!areSuficient()</t>
  </si>
  <si>
    <t>ramas &lt;= 0</t>
  </si>
  <si>
    <t>1,2,5,6,7,8,9,10,11,12,13,14,15,16,17</t>
  </si>
  <si>
    <t>reteta.getIngrediente()</t>
  </si>
  <si>
    <t>ingredienteStoc</t>
  </si>
  <si>
    <t>11-8+2 = 5</t>
  </si>
  <si>
    <t>4 + 1 = 5</t>
  </si>
  <si>
    <t>1 - 2(T) - 7 - 8</t>
  </si>
  <si>
    <t>1 - 2(F) - 3(F) - 8</t>
  </si>
  <si>
    <t>1 - 2(F) - 3(T) - 4(F) - 3(F) - 8</t>
  </si>
  <si>
    <t>F02_P04</t>
  </si>
  <si>
    <t>F02_P05</t>
  </si>
  <si>
    <t>1 - 2(F) - 3(T) - (4(T) - 5(F) - 6)* - 4(T) - 5(T) - 3(F) - end</t>
  </si>
  <si>
    <t>1,2,3,4</t>
  </si>
  <si>
    <t>F02_TC03</t>
  </si>
  <si>
    <t>F02_TC04</t>
  </si>
  <si>
    <t>F02_TC05</t>
  </si>
  <si>
    <t>1 - 2(F) - 3(T) - 4(T) - 5(F) - 6 - 4(T) - 5(T) - 3(F) - end</t>
  </si>
  <si>
    <t>comanda cu reteta != null care are stoc insuficient</t>
  </si>
  <si>
    <t>comanda cu reteta goala</t>
  </si>
  <si>
    <t>comanda cu reteta care nu e goala si stoc suficient intr un singur lot</t>
  </si>
  <si>
    <t>comanda cu reteta care nu e goala si stoc suficient pe mai multe loturi</t>
  </si>
  <si>
    <t>1,2,4,5,19</t>
  </si>
  <si>
    <t>comanda cu reteta care nu e goala si stoc care nu are ingredientul</t>
  </si>
  <si>
    <t>1,2,4,5,6,7,8,9,10,11,12,18,19</t>
  </si>
  <si>
    <t>reteta: Cafea 30, stoc: Cafea 50</t>
  </si>
  <si>
    <t>stocul se actualizeaza (50 -&gt; 30), fara exceptie</t>
  </si>
  <si>
    <t>passed</t>
  </si>
  <si>
    <t>reteta: Cafea 10, stoc: Cafea 5</t>
  </si>
  <si>
    <t>reteta: Lapte 70, stoc: Lapte 30+50</t>
  </si>
  <si>
    <t>se arunca IllegalStateException</t>
  </si>
  <si>
    <t>stoc1 -&gt; 0, stoc2 -&gt; 10</t>
  </si>
  <si>
    <t>reteta: []</t>
  </si>
  <si>
    <t>reteta: Matcha 10, stoc: nu exista Matcha</t>
  </si>
  <si>
    <t>nu se arunca exceptie, se sare peste bucla interioara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</si>
</sst>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0" fillId="2" borderId="7" xfId="0" applyFill="1" applyBorder="1"/>
    <xf numFmtId="0" fontId="0" fillId="0" borderId="7" xfId="0" applyBorder="1"/>
    <xf numFmtId="0" fontId="0" fillId="2" borderId="10" xfId="0" applyFill="1" applyBorder="1"/>
    <xf numFmtId="0" fontId="0" fillId="2" borderId="11" xfId="0" applyFill="1" applyBorder="1"/>
    <xf numFmtId="0" fontId="6" fillId="8" borderId="0" xfId="0" applyFont="1" applyFill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11" fillId="3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 readingOrder="1"/>
    </xf>
    <xf numFmtId="0" fontId="12" fillId="6" borderId="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1" fillId="8" borderId="10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9" fontId="0" fillId="7" borderId="7" xfId="0" applyNumberFormat="1" applyFill="1" applyBorder="1"/>
    <xf numFmtId="9" fontId="0" fillId="7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35772</xdr:colOff>
      <xdr:row>6</xdr:row>
      <xdr:rowOff>119943</xdr:rowOff>
    </xdr:from>
    <xdr:to>
      <xdr:col>6</xdr:col>
      <xdr:colOff>599722</xdr:colOff>
      <xdr:row>29</xdr:row>
      <xdr:rowOff>28222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" y="1220610"/>
          <a:ext cx="3717784" cy="4127501"/>
        </a:xfrm>
        <a:prstGeom prst="rect">
          <a:avLst/>
        </a:prstGeom>
      </xdr:spPr>
    </xdr:pic>
    <xdr:clientData/>
  </xdr:twoCellAnchor>
  <xdr:twoCellAnchor editAs="oneCell">
    <xdr:from>
      <xdr:col>7</xdr:col>
      <xdr:colOff>348693</xdr:colOff>
      <xdr:row>8</xdr:row>
      <xdr:rowOff>134055</xdr:rowOff>
    </xdr:from>
    <xdr:to>
      <xdr:col>15</xdr:col>
      <xdr:colOff>603244</xdr:colOff>
      <xdr:row>32</xdr:row>
      <xdr:rowOff>56445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0193" y="1601611"/>
          <a:ext cx="5165218" cy="4325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P20"/>
  <sheetViews>
    <sheetView workbookViewId="0">
      <selection activeCell="F12" sqref="F12"/>
    </sheetView>
  </sheetViews>
  <sheetFormatPr defaultColWidth="8.81640625" defaultRowHeight="14.5" x14ac:dyDescent="0.35"/>
  <cols>
    <col min="15" max="15" width="19.54296875" customWidth="1"/>
  </cols>
  <sheetData>
    <row r="1" spans="2:16" x14ac:dyDescent="0.35">
      <c r="B1" s="10"/>
      <c r="D1" s="51" t="s">
        <v>0</v>
      </c>
      <c r="E1" s="52"/>
      <c r="F1" s="52"/>
      <c r="G1" s="53"/>
    </row>
    <row r="2" spans="2:16" x14ac:dyDescent="0.35">
      <c r="B2" s="32" t="s">
        <v>1</v>
      </c>
    </row>
    <row r="4" spans="2:16" x14ac:dyDescent="0.35">
      <c r="B4" s="1" t="s">
        <v>2</v>
      </c>
      <c r="N4" s="5" t="s">
        <v>3</v>
      </c>
      <c r="O4" s="5"/>
      <c r="P4" s="5"/>
    </row>
    <row r="5" spans="2:16" x14ac:dyDescent="0.35">
      <c r="B5" s="1" t="s">
        <v>4</v>
      </c>
      <c r="N5" s="28" t="s">
        <v>5</v>
      </c>
      <c r="O5" s="28"/>
      <c r="P5" s="28"/>
    </row>
    <row r="6" spans="2:16" x14ac:dyDescent="0.35">
      <c r="B6" s="1" t="s">
        <v>6</v>
      </c>
      <c r="N6" s="21"/>
      <c r="O6" s="21" t="s">
        <v>7</v>
      </c>
      <c r="P6" s="21" t="s">
        <v>8</v>
      </c>
    </row>
    <row r="7" spans="2:16" x14ac:dyDescent="0.35">
      <c r="B7" s="1"/>
      <c r="C7" s="1"/>
      <c r="D7" s="1"/>
      <c r="E7" s="1"/>
      <c r="N7" s="21" t="s">
        <v>9</v>
      </c>
      <c r="O7" s="21" t="s">
        <v>69</v>
      </c>
      <c r="P7" s="21">
        <v>236</v>
      </c>
    </row>
    <row r="8" spans="2:16" x14ac:dyDescent="0.35">
      <c r="B8" s="1"/>
      <c r="C8" s="1"/>
      <c r="D8" s="1"/>
      <c r="E8" s="1"/>
      <c r="N8" s="21" t="s">
        <v>10</v>
      </c>
      <c r="O8" s="21" t="s">
        <v>70</v>
      </c>
      <c r="P8" s="21">
        <v>236</v>
      </c>
    </row>
    <row r="9" spans="2:16" x14ac:dyDescent="0.35">
      <c r="B9" t="s">
        <v>73</v>
      </c>
      <c r="C9" s="1"/>
      <c r="D9" s="1"/>
      <c r="E9" s="1"/>
      <c r="N9" s="21" t="s">
        <v>11</v>
      </c>
      <c r="O9" s="21" t="s">
        <v>71</v>
      </c>
      <c r="P9" s="21">
        <v>236</v>
      </c>
    </row>
    <row r="10" spans="2:16" x14ac:dyDescent="0.35">
      <c r="B10" t="s">
        <v>72</v>
      </c>
      <c r="C10" s="1"/>
      <c r="D10" s="1"/>
      <c r="E10" s="1"/>
    </row>
    <row r="11" spans="2:16" x14ac:dyDescent="0.35">
      <c r="B11" s="30" t="s">
        <v>74</v>
      </c>
      <c r="C11" s="1"/>
      <c r="D11" s="1"/>
      <c r="E11" s="1"/>
    </row>
    <row r="12" spans="2:16" x14ac:dyDescent="0.35">
      <c r="C12" s="1"/>
      <c r="D12" s="1"/>
      <c r="E12" s="1"/>
    </row>
    <row r="19" spans="2:2" x14ac:dyDescent="0.35">
      <c r="B19" s="1"/>
    </row>
    <row r="20" spans="2:2" x14ac:dyDescent="0.3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T24"/>
  <sheetViews>
    <sheetView topLeftCell="B1" zoomScale="90" zoomScaleNormal="90" workbookViewId="0">
      <selection activeCell="R19" sqref="R19:T19"/>
    </sheetView>
  </sheetViews>
  <sheetFormatPr defaultColWidth="8.81640625" defaultRowHeight="14.5" x14ac:dyDescent="0.35"/>
  <cols>
    <col min="2" max="2" width="10" customWidth="1"/>
    <col min="17" max="17" width="10.54296875" customWidth="1"/>
    <col min="20" max="20" width="9.54296875" customWidth="1"/>
  </cols>
  <sheetData>
    <row r="1" spans="2:20" x14ac:dyDescent="0.35">
      <c r="B1" s="10"/>
      <c r="D1" s="51" t="s">
        <v>0</v>
      </c>
      <c r="E1" s="52"/>
      <c r="F1" s="52"/>
      <c r="G1" s="52"/>
      <c r="H1" s="52"/>
      <c r="I1" s="53"/>
    </row>
    <row r="3" spans="2:20" x14ac:dyDescent="0.35">
      <c r="B3" s="57" t="s">
        <v>75</v>
      </c>
      <c r="C3" s="58"/>
      <c r="D3" s="58"/>
      <c r="E3" s="58"/>
      <c r="F3" s="58"/>
      <c r="G3" s="58"/>
      <c r="H3" s="58"/>
      <c r="I3" s="58"/>
      <c r="J3" s="58"/>
      <c r="K3" s="59"/>
    </row>
    <row r="6" spans="2:20" x14ac:dyDescent="0.35">
      <c r="B6" s="51" t="s">
        <v>12</v>
      </c>
      <c r="C6" s="52"/>
      <c r="D6" s="52"/>
      <c r="E6" s="53"/>
      <c r="F6" s="24"/>
      <c r="G6" s="24"/>
      <c r="I6" s="51" t="s">
        <v>13</v>
      </c>
      <c r="J6" s="52"/>
      <c r="K6" s="52"/>
      <c r="L6" s="52"/>
      <c r="M6" s="52"/>
      <c r="N6" s="52"/>
      <c r="O6" s="52"/>
      <c r="Q6" s="51" t="s">
        <v>14</v>
      </c>
      <c r="R6" s="52"/>
      <c r="S6" s="52"/>
      <c r="T6" s="52"/>
    </row>
    <row r="8" spans="2:20" x14ac:dyDescent="0.35">
      <c r="B8" s="25" t="s">
        <v>15</v>
      </c>
      <c r="C8" s="69" t="s">
        <v>16</v>
      </c>
      <c r="D8" s="69"/>
      <c r="E8" s="69"/>
      <c r="F8" s="26"/>
      <c r="G8" s="26"/>
      <c r="I8" s="10" t="s">
        <v>17</v>
      </c>
      <c r="Q8" s="55" t="s">
        <v>18</v>
      </c>
      <c r="R8" s="55"/>
      <c r="S8" s="55"/>
      <c r="T8" s="27">
        <v>5</v>
      </c>
    </row>
    <row r="9" spans="2:20" x14ac:dyDescent="0.35">
      <c r="B9" s="28" t="s">
        <v>20</v>
      </c>
      <c r="C9" s="54" t="s">
        <v>19</v>
      </c>
      <c r="D9" s="54"/>
      <c r="E9" s="54"/>
      <c r="F9" s="29"/>
      <c r="G9" s="29"/>
      <c r="I9" s="31"/>
      <c r="Q9" s="55" t="s">
        <v>21</v>
      </c>
      <c r="R9" s="55"/>
      <c r="S9" s="55"/>
      <c r="T9" s="27" t="s">
        <v>84</v>
      </c>
    </row>
    <row r="10" spans="2:20" x14ac:dyDescent="0.35">
      <c r="B10" s="28" t="s">
        <v>22</v>
      </c>
      <c r="C10" s="54" t="s">
        <v>19</v>
      </c>
      <c r="D10" s="54"/>
      <c r="E10" s="54"/>
      <c r="F10" s="29"/>
      <c r="G10" s="29"/>
      <c r="I10" s="60" t="s">
        <v>23</v>
      </c>
      <c r="J10" s="61"/>
      <c r="K10" s="61"/>
      <c r="L10" s="61"/>
      <c r="M10" s="61"/>
      <c r="N10" s="61"/>
      <c r="O10" s="62"/>
      <c r="Q10" s="55" t="s">
        <v>24</v>
      </c>
      <c r="R10" s="55" t="s">
        <v>25</v>
      </c>
      <c r="S10" s="55"/>
      <c r="T10" s="27" t="s">
        <v>85</v>
      </c>
    </row>
    <row r="11" spans="2:20" x14ac:dyDescent="0.35">
      <c r="B11" s="28" t="s">
        <v>26</v>
      </c>
      <c r="C11" s="54" t="s">
        <v>19</v>
      </c>
      <c r="D11" s="54"/>
      <c r="E11" s="54"/>
      <c r="F11" s="29"/>
      <c r="G11" s="29"/>
      <c r="I11" s="63"/>
      <c r="J11" s="64"/>
      <c r="K11" s="64"/>
      <c r="L11" s="64"/>
      <c r="M11" s="64"/>
      <c r="N11" s="64"/>
      <c r="O11" s="65"/>
    </row>
    <row r="12" spans="2:20" x14ac:dyDescent="0.35">
      <c r="B12" s="28" t="s">
        <v>27</v>
      </c>
      <c r="C12" s="54" t="s">
        <v>19</v>
      </c>
      <c r="D12" s="54"/>
      <c r="E12" s="54"/>
      <c r="F12" s="29"/>
      <c r="G12" s="29"/>
      <c r="I12" s="63"/>
      <c r="J12" s="64"/>
      <c r="K12" s="64"/>
      <c r="L12" s="64"/>
      <c r="M12" s="64"/>
      <c r="N12" s="64"/>
      <c r="O12" s="65"/>
    </row>
    <row r="13" spans="2:20" x14ac:dyDescent="0.35">
      <c r="B13" s="28" t="s">
        <v>28</v>
      </c>
      <c r="C13" s="54" t="s">
        <v>19</v>
      </c>
      <c r="D13" s="54"/>
      <c r="E13" s="54"/>
      <c r="F13" s="29"/>
      <c r="G13" s="29"/>
      <c r="I13" s="63"/>
      <c r="J13" s="64"/>
      <c r="K13" s="64"/>
      <c r="L13" s="64"/>
      <c r="M13" s="64"/>
      <c r="N13" s="64"/>
      <c r="O13" s="65"/>
      <c r="Q13" s="51" t="s">
        <v>29</v>
      </c>
      <c r="R13" s="52"/>
      <c r="S13" s="52"/>
      <c r="T13" s="52"/>
    </row>
    <row r="14" spans="2:20" x14ac:dyDescent="0.35">
      <c r="B14" s="28" t="s">
        <v>27</v>
      </c>
      <c r="C14" s="54" t="s">
        <v>19</v>
      </c>
      <c r="D14" s="54"/>
      <c r="E14" s="54"/>
      <c r="F14" s="29"/>
      <c r="G14" s="29"/>
      <c r="I14" s="63"/>
      <c r="J14" s="64"/>
      <c r="K14" s="64"/>
      <c r="L14" s="64"/>
      <c r="M14" s="64"/>
      <c r="N14" s="64"/>
      <c r="O14" s="65"/>
    </row>
    <row r="15" spans="2:20" x14ac:dyDescent="0.35">
      <c r="I15" s="63"/>
      <c r="J15" s="64"/>
      <c r="K15" s="64"/>
      <c r="L15" s="64"/>
      <c r="M15" s="64"/>
      <c r="N15" s="64"/>
      <c r="O15" s="65"/>
      <c r="Q15" s="25" t="s">
        <v>30</v>
      </c>
      <c r="R15" s="69" t="s">
        <v>31</v>
      </c>
      <c r="S15" s="69"/>
      <c r="T15" s="69"/>
    </row>
    <row r="16" spans="2:20" x14ac:dyDescent="0.35">
      <c r="I16" s="63"/>
      <c r="J16" s="64"/>
      <c r="K16" s="64"/>
      <c r="L16" s="64"/>
      <c r="M16" s="64"/>
      <c r="N16" s="64"/>
      <c r="O16" s="65"/>
      <c r="Q16" s="28" t="s">
        <v>32</v>
      </c>
      <c r="R16" s="56" t="s">
        <v>86</v>
      </c>
      <c r="S16" s="56"/>
      <c r="T16" s="56"/>
    </row>
    <row r="17" spans="9:20" x14ac:dyDescent="0.35">
      <c r="I17" s="63"/>
      <c r="J17" s="64"/>
      <c r="K17" s="64"/>
      <c r="L17" s="64"/>
      <c r="M17" s="64"/>
      <c r="N17" s="64"/>
      <c r="O17" s="65"/>
      <c r="Q17" s="28" t="s">
        <v>33</v>
      </c>
      <c r="R17" s="56" t="s">
        <v>87</v>
      </c>
      <c r="S17" s="56"/>
      <c r="T17" s="56"/>
    </row>
    <row r="18" spans="9:20" x14ac:dyDescent="0.35">
      <c r="I18" s="63"/>
      <c r="J18" s="64"/>
      <c r="K18" s="64"/>
      <c r="L18" s="64"/>
      <c r="M18" s="64"/>
      <c r="N18" s="64"/>
      <c r="O18" s="65"/>
      <c r="Q18" s="28" t="s">
        <v>34</v>
      </c>
      <c r="R18" s="56" t="s">
        <v>88</v>
      </c>
      <c r="S18" s="56"/>
      <c r="T18" s="56"/>
    </row>
    <row r="19" spans="9:20" x14ac:dyDescent="0.35">
      <c r="I19" s="63"/>
      <c r="J19" s="64"/>
      <c r="K19" s="64"/>
      <c r="L19" s="64"/>
      <c r="M19" s="64"/>
      <c r="N19" s="64"/>
      <c r="O19" s="65"/>
      <c r="Q19" s="28" t="s">
        <v>89</v>
      </c>
      <c r="R19" s="56" t="s">
        <v>96</v>
      </c>
      <c r="S19" s="56"/>
      <c r="T19" s="56"/>
    </row>
    <row r="20" spans="9:20" x14ac:dyDescent="0.35">
      <c r="I20" s="63"/>
      <c r="J20" s="64"/>
      <c r="K20" s="64"/>
      <c r="L20" s="64"/>
      <c r="M20" s="64"/>
      <c r="N20" s="64"/>
      <c r="O20" s="65"/>
      <c r="Q20" s="47" t="s">
        <v>90</v>
      </c>
      <c r="R20" s="56" t="s">
        <v>91</v>
      </c>
      <c r="S20" s="56"/>
      <c r="T20" s="56"/>
    </row>
    <row r="21" spans="9:20" x14ac:dyDescent="0.35">
      <c r="I21" s="63"/>
      <c r="J21" s="64"/>
      <c r="K21" s="64"/>
      <c r="L21" s="64"/>
      <c r="M21" s="64"/>
      <c r="N21" s="64"/>
      <c r="O21" s="65"/>
      <c r="Q21" s="48"/>
    </row>
    <row r="22" spans="9:20" x14ac:dyDescent="0.35">
      <c r="I22" s="63"/>
      <c r="J22" s="64"/>
      <c r="K22" s="64"/>
      <c r="L22" s="64"/>
      <c r="M22" s="64"/>
      <c r="N22" s="64"/>
      <c r="O22" s="65"/>
    </row>
    <row r="23" spans="9:20" x14ac:dyDescent="0.35">
      <c r="I23" s="63"/>
      <c r="J23" s="64"/>
      <c r="K23" s="64"/>
      <c r="L23" s="64"/>
      <c r="M23" s="64"/>
      <c r="N23" s="64"/>
      <c r="O23" s="65"/>
    </row>
    <row r="24" spans="9:20" x14ac:dyDescent="0.35">
      <c r="I24" s="66"/>
      <c r="J24" s="67"/>
      <c r="K24" s="67"/>
      <c r="L24" s="67"/>
      <c r="M24" s="67"/>
      <c r="N24" s="67"/>
      <c r="O24" s="68"/>
    </row>
  </sheetData>
  <mergeCells count="23">
    <mergeCell ref="D1:I1"/>
    <mergeCell ref="R19:T19"/>
    <mergeCell ref="R20:T20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D17"/>
  <sheetViews>
    <sheetView topLeftCell="B1" zoomScale="70" zoomScaleNormal="70" workbookViewId="0">
      <selection activeCell="D16" sqref="D16"/>
    </sheetView>
  </sheetViews>
  <sheetFormatPr defaultColWidth="8.81640625" defaultRowHeight="14.5" x14ac:dyDescent="0.35"/>
  <cols>
    <col min="2" max="2" width="12.26953125" customWidth="1"/>
    <col min="3" max="4" width="18.1796875" bestFit="1" customWidth="1"/>
    <col min="5" max="5" width="19.81640625" bestFit="1" customWidth="1"/>
    <col min="6" max="6" width="35.453125" bestFit="1" customWidth="1"/>
    <col min="7" max="7" width="11.453125" bestFit="1" customWidth="1"/>
    <col min="8" max="9" width="11.1796875" customWidth="1"/>
    <col min="10" max="10" width="14.54296875" customWidth="1"/>
    <col min="11" max="14" width="10.36328125" customWidth="1"/>
    <col min="15" max="15" width="26.54296875" customWidth="1"/>
    <col min="16" max="16" width="5" hidden="1" customWidth="1"/>
    <col min="17" max="17" width="8.81640625" hidden="1" customWidth="1"/>
    <col min="18" max="18" width="11.81640625" hidden="1" customWidth="1"/>
    <col min="19" max="20" width="8.81640625" customWidth="1"/>
    <col min="24" max="24" width="9.1796875" customWidth="1"/>
    <col min="25" max="27" width="2.1796875" bestFit="1" customWidth="1"/>
    <col min="28" max="28" width="3.54296875" bestFit="1" customWidth="1"/>
    <col min="29" max="29" width="2.1796875" bestFit="1" customWidth="1"/>
    <col min="30" max="30" width="4.1796875" bestFit="1" customWidth="1"/>
    <col min="31" max="31" width="5.1796875" bestFit="1" customWidth="1"/>
  </cols>
  <sheetData>
    <row r="1" spans="2:30" x14ac:dyDescent="0.35">
      <c r="B1" s="10"/>
      <c r="D1" s="51" t="s">
        <v>0</v>
      </c>
      <c r="E1" s="52"/>
      <c r="F1" s="52"/>
      <c r="G1" s="53"/>
    </row>
    <row r="3" spans="2:30" x14ac:dyDescent="0.35">
      <c r="B3" s="57" t="s">
        <v>75</v>
      </c>
      <c r="C3" s="70"/>
      <c r="D3" s="70"/>
      <c r="E3" s="70"/>
      <c r="F3" s="71"/>
    </row>
    <row r="4" spans="2:30" x14ac:dyDescent="0.35">
      <c r="I4" s="29"/>
    </row>
    <row r="5" spans="2:30" x14ac:dyDescent="0.35">
      <c r="B5" s="9"/>
    </row>
    <row r="6" spans="2:30" ht="15.5" x14ac:dyDescent="0.35">
      <c r="B6" s="72" t="s">
        <v>35</v>
      </c>
      <c r="C6" s="72" t="s">
        <v>36</v>
      </c>
      <c r="D6" s="72" t="s">
        <v>37</v>
      </c>
      <c r="E6" s="43" t="s">
        <v>38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2:30" ht="15.5" customHeight="1" x14ac:dyDescent="0.35">
      <c r="B7" s="73"/>
      <c r="C7" s="74"/>
      <c r="D7" s="74"/>
      <c r="E7" s="77" t="s">
        <v>39</v>
      </c>
      <c r="F7" s="37" t="s">
        <v>40</v>
      </c>
      <c r="G7" s="38"/>
      <c r="H7" s="38"/>
      <c r="I7" s="38"/>
      <c r="J7" s="35" t="s">
        <v>41</v>
      </c>
      <c r="K7" s="36"/>
      <c r="L7" s="36"/>
      <c r="M7" s="36"/>
      <c r="N7" s="36"/>
      <c r="O7" s="40" t="s">
        <v>42</v>
      </c>
      <c r="P7" s="41"/>
      <c r="Q7" s="41"/>
      <c r="R7" s="41"/>
      <c r="S7" s="41"/>
      <c r="T7" s="42"/>
    </row>
    <row r="8" spans="2:30" ht="15.65" customHeight="1" x14ac:dyDescent="0.35">
      <c r="B8" s="73"/>
      <c r="C8" s="75" t="s">
        <v>19</v>
      </c>
      <c r="D8" s="75" t="s">
        <v>19</v>
      </c>
      <c r="E8" s="78"/>
      <c r="F8" s="84" t="s">
        <v>79</v>
      </c>
      <c r="G8" s="85"/>
      <c r="H8" s="84" t="s">
        <v>80</v>
      </c>
      <c r="I8" s="85"/>
      <c r="J8" s="82" t="s">
        <v>32</v>
      </c>
      <c r="K8" s="82" t="s">
        <v>33</v>
      </c>
      <c r="L8" s="82" t="s">
        <v>34</v>
      </c>
      <c r="M8" s="82" t="s">
        <v>89</v>
      </c>
      <c r="N8" s="82" t="s">
        <v>90</v>
      </c>
      <c r="O8" s="80">
        <v>0</v>
      </c>
      <c r="P8" s="80">
        <v>1</v>
      </c>
      <c r="Q8" s="80">
        <v>2</v>
      </c>
      <c r="R8" s="80" t="s">
        <v>43</v>
      </c>
      <c r="S8" s="80" t="s">
        <v>82</v>
      </c>
      <c r="T8" s="80" t="s">
        <v>83</v>
      </c>
    </row>
    <row r="9" spans="2:30" ht="15.5" customHeight="1" x14ac:dyDescent="0.35">
      <c r="B9" s="74"/>
      <c r="C9" s="76"/>
      <c r="D9" s="76"/>
      <c r="E9" s="79"/>
      <c r="F9" s="33" t="s">
        <v>44</v>
      </c>
      <c r="G9" s="33" t="s">
        <v>45</v>
      </c>
      <c r="H9" s="33" t="s">
        <v>44</v>
      </c>
      <c r="I9" s="33" t="s">
        <v>45</v>
      </c>
      <c r="J9" s="83"/>
      <c r="K9" s="83"/>
      <c r="L9" s="83"/>
      <c r="M9" s="83"/>
      <c r="N9" s="83"/>
      <c r="O9" s="81"/>
      <c r="P9" s="81"/>
      <c r="Q9" s="81"/>
      <c r="R9" s="81"/>
      <c r="S9" s="81"/>
      <c r="T9" s="81"/>
    </row>
    <row r="10" spans="2:30" ht="62" x14ac:dyDescent="0.35">
      <c r="B10" s="11" t="s">
        <v>46</v>
      </c>
      <c r="C10" s="11" t="s">
        <v>99</v>
      </c>
      <c r="D10" s="12" t="s">
        <v>76</v>
      </c>
      <c r="E10" s="13" t="s">
        <v>81</v>
      </c>
      <c r="F10" s="14"/>
      <c r="G10" s="14" t="s">
        <v>78</v>
      </c>
      <c r="H10" s="14" t="s">
        <v>78</v>
      </c>
      <c r="I10" s="14" t="s">
        <v>78</v>
      </c>
      <c r="J10" s="15"/>
      <c r="K10" s="15"/>
      <c r="L10" s="15"/>
      <c r="M10" s="15" t="s">
        <v>78</v>
      </c>
      <c r="N10" s="15"/>
      <c r="O10" s="16"/>
      <c r="P10" s="16"/>
      <c r="Q10" s="16"/>
      <c r="R10" s="16"/>
      <c r="S10" s="39" t="s">
        <v>78</v>
      </c>
      <c r="T10" s="39" t="s">
        <v>78</v>
      </c>
    </row>
    <row r="11" spans="2:30" ht="46.5" x14ac:dyDescent="0.35">
      <c r="B11" s="11" t="s">
        <v>56</v>
      </c>
      <c r="C11" s="34" t="s">
        <v>97</v>
      </c>
      <c r="D11" s="12" t="s">
        <v>77</v>
      </c>
      <c r="E11" s="13" t="s">
        <v>92</v>
      </c>
      <c r="F11" s="14" t="s">
        <v>78</v>
      </c>
      <c r="G11" s="14"/>
      <c r="H11" s="14"/>
      <c r="I11" s="14"/>
      <c r="J11" s="15" t="s">
        <v>78</v>
      </c>
      <c r="K11" s="15"/>
      <c r="L11" s="15"/>
      <c r="M11" s="15"/>
      <c r="N11" s="15"/>
      <c r="O11" s="39" t="s">
        <v>78</v>
      </c>
      <c r="P11" s="16"/>
      <c r="Q11" s="16"/>
      <c r="R11" s="16"/>
      <c r="S11" s="16"/>
      <c r="T11" s="16"/>
    </row>
    <row r="12" spans="2:30" ht="62" x14ac:dyDescent="0.35">
      <c r="B12" s="11" t="s">
        <v>93</v>
      </c>
      <c r="C12" s="34" t="s">
        <v>100</v>
      </c>
      <c r="D12" s="12" t="s">
        <v>76</v>
      </c>
      <c r="E12" s="13" t="s">
        <v>81</v>
      </c>
      <c r="F12" s="14"/>
      <c r="G12" s="14" t="s">
        <v>78</v>
      </c>
      <c r="H12" s="14" t="s">
        <v>78</v>
      </c>
      <c r="I12" s="14" t="s">
        <v>78</v>
      </c>
      <c r="J12" s="15"/>
      <c r="K12" s="15"/>
      <c r="L12" s="15"/>
      <c r="M12" s="15"/>
      <c r="N12" s="15" t="s">
        <v>78</v>
      </c>
      <c r="O12" s="39"/>
      <c r="S12" s="39" t="s">
        <v>78</v>
      </c>
      <c r="T12" s="39" t="s">
        <v>78</v>
      </c>
    </row>
    <row r="13" spans="2:30" ht="31" x14ac:dyDescent="0.35">
      <c r="B13" s="11" t="s">
        <v>94</v>
      </c>
      <c r="C13" s="34" t="s">
        <v>98</v>
      </c>
      <c r="D13" s="12" t="s">
        <v>77</v>
      </c>
      <c r="E13" s="13" t="s">
        <v>101</v>
      </c>
      <c r="F13" s="14"/>
      <c r="G13" s="14" t="s">
        <v>78</v>
      </c>
      <c r="H13" s="14"/>
      <c r="I13" s="14"/>
      <c r="J13" s="15"/>
      <c r="K13" s="15" t="s">
        <v>78</v>
      </c>
      <c r="L13" s="15"/>
      <c r="M13" s="15"/>
      <c r="N13" s="15"/>
      <c r="O13" s="39" t="s">
        <v>78</v>
      </c>
      <c r="S13" s="16"/>
      <c r="T13" s="16"/>
    </row>
    <row r="14" spans="2:30" ht="62" x14ac:dyDescent="0.35">
      <c r="B14" s="11" t="s">
        <v>95</v>
      </c>
      <c r="C14" s="34" t="s">
        <v>102</v>
      </c>
      <c r="D14" s="12" t="s">
        <v>76</v>
      </c>
      <c r="E14" s="13" t="s">
        <v>103</v>
      </c>
      <c r="F14" s="14"/>
      <c r="G14" s="14" t="s">
        <v>78</v>
      </c>
      <c r="H14" s="14"/>
      <c r="I14" s="14"/>
      <c r="J14" s="15"/>
      <c r="K14" s="15"/>
      <c r="L14" s="15" t="s">
        <v>78</v>
      </c>
      <c r="M14" s="15"/>
      <c r="N14" s="15"/>
      <c r="O14" s="39"/>
      <c r="S14" s="39" t="s">
        <v>78</v>
      </c>
      <c r="T14" s="16"/>
    </row>
    <row r="17" spans="5:7" x14ac:dyDescent="0.35">
      <c r="E17" s="29"/>
      <c r="F17" s="29"/>
      <c r="G17" s="29"/>
    </row>
  </sheetData>
  <mergeCells count="21">
    <mergeCell ref="S8:S9"/>
    <mergeCell ref="T8:T9"/>
    <mergeCell ref="K8:K9"/>
    <mergeCell ref="D8:D9"/>
    <mergeCell ref="F8:G8"/>
    <mergeCell ref="P8:P9"/>
    <mergeCell ref="Q8:Q9"/>
    <mergeCell ref="R8:R9"/>
    <mergeCell ref="H8:I8"/>
    <mergeCell ref="O8:O9"/>
    <mergeCell ref="J8:J9"/>
    <mergeCell ref="L8:L9"/>
    <mergeCell ref="M8:M9"/>
    <mergeCell ref="N8:N9"/>
    <mergeCell ref="D1:G1"/>
    <mergeCell ref="B3:F3"/>
    <mergeCell ref="B6:B9"/>
    <mergeCell ref="C6:C7"/>
    <mergeCell ref="D6:D7"/>
    <mergeCell ref="C8:C9"/>
    <mergeCell ref="E7:E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I16"/>
  <sheetViews>
    <sheetView tabSelected="1" workbookViewId="0">
      <selection activeCell="I9" sqref="I9"/>
    </sheetView>
  </sheetViews>
  <sheetFormatPr defaultColWidth="8.81640625" defaultRowHeight="14.5" x14ac:dyDescent="0.35"/>
  <cols>
    <col min="3" max="3" width="7.1796875" bestFit="1" customWidth="1"/>
    <col min="4" max="4" width="11.26953125" bestFit="1" customWidth="1"/>
    <col min="5" max="5" width="40.08984375" customWidth="1"/>
    <col min="6" max="6" width="45.7265625" customWidth="1"/>
    <col min="7" max="7" width="11.08984375" customWidth="1"/>
    <col min="8" max="8" width="16.1796875" bestFit="1" customWidth="1"/>
    <col min="10" max="10" width="12.26953125" customWidth="1"/>
  </cols>
  <sheetData>
    <row r="1" spans="2:9" x14ac:dyDescent="0.35">
      <c r="B1" s="10"/>
      <c r="D1" s="51" t="s">
        <v>0</v>
      </c>
      <c r="E1" s="52"/>
    </row>
    <row r="3" spans="2:9" x14ac:dyDescent="0.35">
      <c r="B3" s="104" t="s">
        <v>47</v>
      </c>
      <c r="C3" s="104"/>
      <c r="D3" s="104"/>
      <c r="E3" s="104"/>
      <c r="F3" s="104"/>
      <c r="G3" s="104"/>
    </row>
    <row r="4" spans="2:9" x14ac:dyDescent="0.35">
      <c r="B4" s="105" t="s">
        <v>48</v>
      </c>
      <c r="C4" s="97" t="s">
        <v>49</v>
      </c>
      <c r="D4" s="112" t="s">
        <v>50</v>
      </c>
      <c r="E4" s="50" t="s">
        <v>51</v>
      </c>
      <c r="F4" s="107" t="s">
        <v>52</v>
      </c>
      <c r="G4" s="108"/>
    </row>
    <row r="5" spans="2:9" ht="15" thickBot="1" x14ac:dyDescent="0.4">
      <c r="B5" s="106"/>
      <c r="C5" s="111"/>
      <c r="D5" s="113"/>
      <c r="E5" s="2" t="s">
        <v>19</v>
      </c>
      <c r="F5" s="2" t="s">
        <v>53</v>
      </c>
      <c r="G5" s="2" t="s">
        <v>54</v>
      </c>
    </row>
    <row r="6" spans="2:9" ht="15" thickTop="1" x14ac:dyDescent="0.35">
      <c r="B6" s="17">
        <v>9</v>
      </c>
      <c r="C6" s="109" t="s">
        <v>55</v>
      </c>
      <c r="D6" s="4" t="s">
        <v>46</v>
      </c>
      <c r="E6" s="18" t="s">
        <v>104</v>
      </c>
      <c r="F6" s="18" t="s">
        <v>105</v>
      </c>
      <c r="G6" s="17" t="s">
        <v>106</v>
      </c>
    </row>
    <row r="7" spans="2:9" x14ac:dyDescent="0.35">
      <c r="B7" s="17">
        <v>10</v>
      </c>
      <c r="C7" s="109"/>
      <c r="D7" s="4" t="s">
        <v>56</v>
      </c>
      <c r="E7" s="17" t="s">
        <v>107</v>
      </c>
      <c r="F7" s="17" t="s">
        <v>109</v>
      </c>
      <c r="G7" s="17" t="s">
        <v>106</v>
      </c>
    </row>
    <row r="8" spans="2:9" x14ac:dyDescent="0.35">
      <c r="B8" s="17">
        <v>11</v>
      </c>
      <c r="C8" s="109"/>
      <c r="D8" s="8" t="s">
        <v>93</v>
      </c>
      <c r="E8" s="17" t="s">
        <v>108</v>
      </c>
      <c r="F8" s="49" t="s">
        <v>110</v>
      </c>
      <c r="G8" s="17" t="s">
        <v>106</v>
      </c>
    </row>
    <row r="9" spans="2:9" x14ac:dyDescent="0.35">
      <c r="B9" s="17">
        <v>12</v>
      </c>
      <c r="C9" s="109"/>
      <c r="D9" s="8" t="s">
        <v>94</v>
      </c>
      <c r="E9" s="17" t="s">
        <v>111</v>
      </c>
      <c r="F9" s="17" t="s">
        <v>109</v>
      </c>
      <c r="G9" s="17" t="s">
        <v>106</v>
      </c>
    </row>
    <row r="10" spans="2:9" ht="15" thickBot="1" x14ac:dyDescent="0.4">
      <c r="B10" s="2">
        <v>13</v>
      </c>
      <c r="C10" s="110"/>
      <c r="D10" s="7" t="s">
        <v>95</v>
      </c>
      <c r="E10" s="2" t="s">
        <v>112</v>
      </c>
      <c r="F10" s="2" t="s">
        <v>113</v>
      </c>
      <c r="G10" s="2" t="s">
        <v>106</v>
      </c>
    </row>
    <row r="11" spans="2:9" ht="15" thickTop="1" x14ac:dyDescent="0.35">
      <c r="B11" s="3"/>
      <c r="C11" s="3"/>
      <c r="D11" s="3"/>
      <c r="E11" s="3"/>
      <c r="F11" s="3"/>
      <c r="G11" s="3"/>
    </row>
    <row r="12" spans="2:9" ht="15" thickBot="1" x14ac:dyDescent="0.4">
      <c r="B12" s="3" t="s">
        <v>57</v>
      </c>
      <c r="F12" s="19"/>
    </row>
    <row r="13" spans="2:9" ht="15.5" thickTop="1" thickBot="1" x14ac:dyDescent="0.4">
      <c r="B13" s="101" t="s">
        <v>58</v>
      </c>
      <c r="C13" s="102"/>
      <c r="D13" s="102"/>
      <c r="E13" s="102"/>
      <c r="F13" s="102"/>
      <c r="G13" s="103"/>
      <c r="H13" s="90" t="s">
        <v>59</v>
      </c>
      <c r="I13" s="91"/>
    </row>
    <row r="14" spans="2:9" ht="15" customHeight="1" thickTop="1" x14ac:dyDescent="0.35">
      <c r="B14" s="89" t="s">
        <v>60</v>
      </c>
      <c r="C14" s="93" t="s">
        <v>61</v>
      </c>
      <c r="D14" s="93" t="s">
        <v>62</v>
      </c>
      <c r="E14" s="95" t="s">
        <v>63</v>
      </c>
      <c r="F14" s="99" t="s">
        <v>64</v>
      </c>
      <c r="G14" s="86" t="s">
        <v>65</v>
      </c>
      <c r="H14" s="88" t="s">
        <v>66</v>
      </c>
      <c r="I14" s="97" t="s">
        <v>67</v>
      </c>
    </row>
    <row r="15" spans="2:9" x14ac:dyDescent="0.35">
      <c r="B15" s="92"/>
      <c r="C15" s="94"/>
      <c r="D15" s="94"/>
      <c r="E15" s="96"/>
      <c r="F15" s="100"/>
      <c r="G15" s="87"/>
      <c r="H15" s="89"/>
      <c r="I15" s="98"/>
    </row>
    <row r="16" spans="2:9" x14ac:dyDescent="0.35">
      <c r="B16" s="21">
        <f>SUM(C16:D16)</f>
        <v>12</v>
      </c>
      <c r="C16" s="20">
        <v>12</v>
      </c>
      <c r="D16" s="20">
        <v>0</v>
      </c>
      <c r="E16" s="114">
        <v>1</v>
      </c>
      <c r="F16" s="22">
        <v>0</v>
      </c>
      <c r="G16" s="115">
        <v>1</v>
      </c>
      <c r="H16" s="6" t="s">
        <v>68</v>
      </c>
      <c r="I16" s="23">
        <f>C16</f>
        <v>12</v>
      </c>
    </row>
  </sheetData>
  <mergeCells count="18">
    <mergeCell ref="D1:E1"/>
    <mergeCell ref="B3:G3"/>
    <mergeCell ref="B4:B5"/>
    <mergeCell ref="F4:G4"/>
    <mergeCell ref="C6:C10"/>
    <mergeCell ref="C4:C5"/>
    <mergeCell ref="D4:D5"/>
    <mergeCell ref="G14:G15"/>
    <mergeCell ref="H14:H15"/>
    <mergeCell ref="H13:I13"/>
    <mergeCell ref="B14:B15"/>
    <mergeCell ref="C14:C15"/>
    <mergeCell ref="D14:D15"/>
    <mergeCell ref="E14:E15"/>
    <mergeCell ref="I14:I15"/>
    <mergeCell ref="F14:F15"/>
    <mergeCell ref="B13:E13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cbfc0213-1ef7-4e52-9599-c30bc1b3f3d7"/>
    <ds:schemaRef ds:uri="301f98df-4edd-4096-94f8-2f8af3eee57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2026-04-21T06:17:30Z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